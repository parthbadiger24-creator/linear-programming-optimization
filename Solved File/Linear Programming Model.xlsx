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A2DB0BD2-4BBC-46A8-943F-DE5887C0F2BE}" xr6:coauthVersionLast="47" xr6:coauthVersionMax="47" xr10:uidLastSave="{00000000-0000-0000-0000-000000000000}"/>
  <bookViews>
    <workbookView xWindow="-108" yWindow="-108" windowWidth="23256" windowHeight="12456" activeTab="2" xr2:uid="{EE575B05-FD0B-4AC7-A3BA-DB317312B7F0}"/>
  </bookViews>
  <sheets>
    <sheet name="Answer Report 1" sheetId="2" r:id="rId1"/>
    <sheet name="Sensitivity Report 1" sheetId="3" r:id="rId2"/>
    <sheet name="Sheet1" sheetId="1" r:id="rId3"/>
  </sheets>
  <definedNames>
    <definedName name="solver_adj" localSheetId="2" hidden="1">Sheet1!$B$2:$B$5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Sheet1!$B$11</definedName>
    <definedName name="solver_lhs2" localSheetId="2" hidden="1">Sheet1!$B$12</definedName>
    <definedName name="solver_lhs3" localSheetId="2" hidden="1">Sheet1!$B$13</definedName>
    <definedName name="solver_lhs4" localSheetId="2" hidden="1">Sheet1!$B$14</definedName>
    <definedName name="solver_lhs5" localSheetId="2" hidden="1">Sheet1!$B$2:$B$5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5</definedName>
    <definedName name="solver_nwt" localSheetId="2" hidden="1">1</definedName>
    <definedName name="solver_opt" localSheetId="2" hidden="1">Sheet1!$B$8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el5" localSheetId="2" hidden="1">3</definedName>
    <definedName name="solver_rhs1" localSheetId="2" hidden="1">Sheet1!$D$11</definedName>
    <definedName name="solver_rhs2" localSheetId="2" hidden="1">Sheet1!$D$12</definedName>
    <definedName name="solver_rhs3" localSheetId="2" hidden="1">Sheet1!$D$13</definedName>
    <definedName name="solver_rhs4" localSheetId="2" hidden="1">Sheet1!$D$14</definedName>
    <definedName name="solver_rhs5" localSheetId="2" hidden="1">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8" i="1"/>
</calcChain>
</file>

<file path=xl/sharedStrings.xml><?xml version="1.0" encoding="utf-8"?>
<sst xmlns="http://schemas.openxmlformats.org/spreadsheetml/2006/main" count="215" uniqueCount="122">
  <si>
    <t>Decision Variables</t>
  </si>
  <si>
    <t>Area (sq meters)</t>
  </si>
  <si>
    <t>Leafy Greens (x1)</t>
  </si>
  <si>
    <t>Root Vegetables (x2)</t>
  </si>
  <si>
    <t>Fruiting Plants (x3)</t>
  </si>
  <si>
    <t>Herbs (x4)</t>
  </si>
  <si>
    <t>Objective Function</t>
  </si>
  <si>
    <t>Maximize Z</t>
  </si>
  <si>
    <t>Constraints</t>
  </si>
  <si>
    <t>Left Side</t>
  </si>
  <si>
    <t>Operator</t>
  </si>
  <si>
    <t>Right Side</t>
  </si>
  <si>
    <t>Status</t>
  </si>
  <si>
    <t>Total Area</t>
  </si>
  <si>
    <t>&lt;=</t>
  </si>
  <si>
    <t>OK</t>
  </si>
  <si>
    <t>Water Usage</t>
  </si>
  <si>
    <t>Labor Hours</t>
  </si>
  <si>
    <t>Max Fruiting Plants</t>
  </si>
  <si>
    <t>Solver Parameters:</t>
  </si>
  <si>
    <t>Objective Cell: B8 [Maximize]</t>
  </si>
  <si>
    <t>Variable Cells: B2:B5</t>
  </si>
  <si>
    <t>Constraints:</t>
  </si>
  <si>
    <t>B11 &lt;= D11 (Total Area)</t>
  </si>
  <si>
    <t>Variable</t>
  </si>
  <si>
    <t>B12 &lt;= D12 (Water Usage)</t>
  </si>
  <si>
    <t>x1</t>
  </si>
  <si>
    <t>B13 &lt;= D13 (Labor Hours)</t>
  </si>
  <si>
    <t>x2</t>
  </si>
  <si>
    <t>B14 &lt;= D14 (Max Fruiting Plants)</t>
  </si>
  <si>
    <t>x3</t>
  </si>
  <si>
    <t>B2:B5 &gt;= 0 (Non-negativity)</t>
  </si>
  <si>
    <t>x4</t>
  </si>
  <si>
    <t>Constraint</t>
  </si>
  <si>
    <t>x1 ≥ 0</t>
  </si>
  <si>
    <t>x2 ≥ 0</t>
  </si>
  <si>
    <t>x3 ≥ 0</t>
  </si>
  <si>
    <t>x4 ≥ 0</t>
  </si>
  <si>
    <t>12*B2 + 8*B3 + 15*B4 + 20*B5</t>
  </si>
  <si>
    <t>B2 + B3 + B4 + B5</t>
  </si>
  <si>
    <t>3*B2 + 2*B3 + 5*B4 + 2.5*B5</t>
  </si>
  <si>
    <t>0.2*B2 + 0.15*B3 + 0.3*B4 + 0.25*B5</t>
  </si>
  <si>
    <t>B4</t>
  </si>
  <si>
    <t>Coefficient</t>
  </si>
  <si>
    <t>x1 (Leafy)</t>
  </si>
  <si>
    <t>x2 (Root)</t>
  </si>
  <si>
    <t>x3 (Fruiting)</t>
  </si>
  <si>
    <t>x4 (Herbs)</t>
  </si>
  <si>
    <t>≤ 2,500</t>
  </si>
  <si>
    <t>Liters/m²/day</t>
  </si>
  <si>
    <t>≤ 8,000</t>
  </si>
  <si>
    <t>Hours/m²/week</t>
  </si>
  <si>
    <t>≤ 600</t>
  </si>
  <si>
    <t>≤ 1,000</t>
  </si>
  <si>
    <t>&gt;=</t>
  </si>
  <si>
    <t>B2:B5</t>
  </si>
  <si>
    <t xml:space="preserve">Non Negativity </t>
  </si>
  <si>
    <t>Microsoft Excel 16.0 Answer Report</t>
  </si>
  <si>
    <t>Worksheet: [Book1]Sheet1</t>
  </si>
  <si>
    <t>Report Created: 1/25/2026 8:07:37 PM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</si>
  <si>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</si>
  <si>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</si>
  <si>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</si>
  <si>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</si>
  <si>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1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</si>
  <si>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</si>
  <si>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</si>
  <si>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</si>
  <si>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</si>
  <si>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</si>
  <si>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</si>
  <si>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</si>
  <si>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</si>
  <si>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</si>
  <si>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</si>
  <si>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</si>
  <si>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</si>
  <si>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Slack</t>
  </si>
  <si>
    <t>$B$8</t>
  </si>
  <si>
    <t>Maximize Z Area (sq meters)</t>
  </si>
  <si>
    <t>$B$2</t>
  </si>
  <si>
    <t>Leafy Greens (x1) Area (sq meters)</t>
  </si>
  <si>
    <t>Contin</t>
  </si>
  <si>
    <t>$B$3</t>
  </si>
  <si>
    <t>Root Vegetables (x2) Area (sq meters)</t>
  </si>
  <si>
    <t>$B$4</t>
  </si>
  <si>
    <t>Fruiting Plants (x3) Area (sq meters)</t>
  </si>
  <si>
    <t>$B$5</t>
  </si>
  <si>
    <t>Herbs (x4) Area (sq meters)</t>
  </si>
  <si>
    <t>$B$11</t>
  </si>
  <si>
    <t>Total Area Left Side</t>
  </si>
  <si>
    <t>$B$11&lt;=$D$11</t>
  </si>
  <si>
    <t>Not Binding</t>
  </si>
  <si>
    <t>$B$12</t>
  </si>
  <si>
    <t>Water Usage Left Side</t>
  </si>
  <si>
    <t>$B$12&lt;=$D$12</t>
  </si>
  <si>
    <t>$B$13</t>
  </si>
  <si>
    <t>Labor Hours Left Side</t>
  </si>
  <si>
    <t>$B$13&lt;=$D$13</t>
  </si>
  <si>
    <t>Binding</t>
  </si>
  <si>
    <t>$B$14</t>
  </si>
  <si>
    <t>Max Fruiting Plants Left Side</t>
  </si>
  <si>
    <t>$B$14&lt;=$D$14</t>
  </si>
  <si>
    <t>$B$2&gt;=0</t>
  </si>
  <si>
    <t>$B$3&gt;=0</t>
  </si>
  <si>
    <t>$B$4&gt;=0</t>
  </si>
  <si>
    <t>$B$5&gt;=0</t>
  </si>
  <si>
    <t>Microsoft Excel 16.0 Sensitivity Report</t>
  </si>
  <si>
    <t>Final</t>
  </si>
  <si>
    <t>Value</t>
  </si>
  <si>
    <t>Reduced</t>
  </si>
  <si>
    <t>Cost</t>
  </si>
  <si>
    <t>Objective</t>
  </si>
  <si>
    <t>Allowable</t>
  </si>
  <si>
    <t>Increase</t>
  </si>
  <si>
    <t>Decrease</t>
  </si>
  <si>
    <t>Shadow</t>
  </si>
  <si>
    <t>Price</t>
  </si>
  <si>
    <t>R.H. Side</t>
  </si>
  <si>
    <t>Labour</t>
  </si>
  <si>
    <t>Maximum Fruiting Plant</t>
  </si>
  <si>
    <t>Non-Negativity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</si>
</sst>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17F7F"/>
        <bgColor indexed="64"/>
      </patternFill>
    </fill>
    <fill>
      <patternFill patternType="solid">
        <fgColor rgb="FFE8A0FE"/>
        <bgColor indexed="64"/>
      </patternFill>
    </fill>
    <fill>
      <patternFill patternType="solid">
        <fgColor rgb="FF8EFCEF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7" xfId="0" applyFill="1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0" fontId="0" fillId="5" borderId="10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1" xfId="0" applyFill="1" applyBorder="1"/>
    <xf numFmtId="0" fontId="0" fillId="6" borderId="6" xfId="0" applyFill="1" applyBorder="1"/>
    <xf numFmtId="0" fontId="0" fillId="6" borderId="10" xfId="0" applyFill="1" applyBorder="1"/>
    <xf numFmtId="0" fontId="0" fillId="6" borderId="10" xfId="0" applyFill="1" applyBorder="1" applyAlignment="1">
      <alignment horizontal="center"/>
    </xf>
    <xf numFmtId="0" fontId="0" fillId="6" borderId="7" xfId="0" applyFill="1" applyBorder="1"/>
    <xf numFmtId="0" fontId="0" fillId="6" borderId="7" xfId="0" applyFill="1" applyBorder="1" applyAlignment="1">
      <alignment horizontal="center"/>
    </xf>
    <xf numFmtId="0" fontId="0" fillId="6" borderId="8" xfId="0" applyFill="1" applyBorder="1"/>
    <xf numFmtId="0" fontId="0" fillId="6" borderId="8" xfId="0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4" xfId="0" applyFill="1" applyBorder="1" applyAlignment="1">
      <alignment horizontal="center"/>
    </xf>
    <xf numFmtId="0" fontId="0" fillId="8" borderId="2" xfId="0" applyFill="1" applyBorder="1"/>
    <xf numFmtId="0" fontId="0" fillId="8" borderId="3" xfId="0" applyFill="1" applyBorder="1"/>
    <xf numFmtId="0" fontId="0" fillId="8" borderId="10" xfId="0" applyFill="1" applyBorder="1"/>
    <xf numFmtId="0" fontId="0" fillId="8" borderId="3" xfId="0" applyFill="1" applyBorder="1" applyAlignment="1">
      <alignment horizontal="center"/>
    </xf>
    <xf numFmtId="0" fontId="0" fillId="8" borderId="7" xfId="0" applyFill="1" applyBorder="1"/>
    <xf numFmtId="0" fontId="0" fillId="8" borderId="4" xfId="0" applyFill="1" applyBorder="1" applyAlignment="1">
      <alignment horizontal="center"/>
    </xf>
    <xf numFmtId="0" fontId="0" fillId="8" borderId="5" xfId="0" applyFill="1" applyBorder="1"/>
    <xf numFmtId="0" fontId="0" fillId="8" borderId="6" xfId="0" applyFill="1" applyBorder="1"/>
    <xf numFmtId="0" fontId="0" fillId="9" borderId="1" xfId="0" applyFill="1" applyBorder="1"/>
    <xf numFmtId="0" fontId="1" fillId="0" borderId="0" xfId="0" applyFont="1"/>
    <xf numFmtId="0" fontId="0" fillId="0" borderId="16" xfId="0" applyFill="1" applyBorder="1" applyAlignment="1"/>
    <xf numFmtId="0" fontId="2" fillId="0" borderId="15" xfId="0" applyFont="1" applyFill="1" applyBorder="1" applyAlignment="1">
      <alignment horizontal="center"/>
    </xf>
    <xf numFmtId="0" fontId="0" fillId="0" borderId="17" xfId="0" applyFill="1" applyBorder="1" applyAlignment="1"/>
    <xf numFmtId="0" fontId="0" fillId="0" borderId="16" xfId="0" applyNumberFormat="1" applyFill="1" applyBorder="1" applyAlignment="1"/>
    <xf numFmtId="0" fontId="0" fillId="0" borderId="17" xfId="0" applyNumberFormat="1" applyFill="1" applyBorder="1" applyAlignment="1"/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0" fillId="5" borderId="4" xfId="0" applyFill="1" applyBorder="1"/>
    <xf numFmtId="0" fontId="0" fillId="5" borderId="12" xfId="0" applyFill="1" applyBorder="1"/>
    <xf numFmtId="0" fontId="0" fillId="0" borderId="8" xfId="0" applyFill="1" applyBorder="1"/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8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0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7F7F"/>
      <color rgb="FFE8A0FE"/>
      <color rgb="FF8EFCE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8207-195C-4A25-867B-82DD972B5A92}">
  <dimension ref="A1:G36"/>
  <sheetViews>
    <sheetView showGridLines="0" topLeftCell="A1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32" bestFit="1" customWidth="1"/>
    <col min="4" max="4" width="12.6640625" bestFit="1" customWidth="1"/>
    <col min="5" max="5" width="13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43" t="s">
        <v>57</v>
      </c>
    </row>
    <row r="2" spans="1:5" x14ac:dyDescent="0.3">
      <c r="A2" s="43" t="s">
        <v>58</v>
      </c>
    </row>
    <row r="3" spans="1:5" x14ac:dyDescent="0.3">
      <c r="A3" s="43" t="s">
        <v>59</v>
      </c>
    </row>
    <row r="4" spans="1:5" x14ac:dyDescent="0.3">
      <c r="A4" s="43" t="s">
        <v>60</v>
      </c>
    </row>
    <row r="5" spans="1:5" x14ac:dyDescent="0.3">
      <c r="A5" s="43" t="s">
        <v>61</v>
      </c>
    </row>
    <row r="6" spans="1:5" x14ac:dyDescent="0.3">
      <c r="A6" s="43"/>
      <c r="B6" t="s">
        <v>62</v>
      </c>
    </row>
    <row r="7" spans="1:5" x14ac:dyDescent="0.3">
      <c r="A7" s="43"/>
      <c r="B7" t="s">
        <v>63</v>
      </c>
    </row>
    <row r="8" spans="1:5" x14ac:dyDescent="0.3">
      <c r="A8" s="43"/>
      <c r="B8" t="s">
        <v>64</v>
      </c>
    </row>
    <row r="9" spans="1:5" x14ac:dyDescent="0.3">
      <c r="A9" s="43" t="s">
        <v>65</v>
      </c>
    </row>
    <row r="10" spans="1:5" x14ac:dyDescent="0.3">
      <c r="B10" t="s">
        <v>66</v>
      </c>
    </row>
    <row r="11" spans="1:5" x14ac:dyDescent="0.3">
      <c r="B11" t="s">
        <v>67</v>
      </c>
    </row>
    <row r="14" spans="1:5" ht="15" thickBot="1" x14ac:dyDescent="0.35">
      <c r="A14" t="s">
        <v>68</v>
      </c>
    </row>
    <row r="15" spans="1:5" ht="15" thickBot="1" x14ac:dyDescent="0.35">
      <c r="B15" s="45" t="s">
        <v>69</v>
      </c>
      <c r="C15" s="45" t="s">
        <v>70</v>
      </c>
      <c r="D15" s="45" t="s">
        <v>71</v>
      </c>
      <c r="E15" s="45" t="s">
        <v>72</v>
      </c>
    </row>
    <row r="16" spans="1:5" ht="15" thickBot="1" x14ac:dyDescent="0.35">
      <c r="B16" s="44" t="s">
        <v>78</v>
      </c>
      <c r="C16" s="44" t="s">
        <v>79</v>
      </c>
      <c r="D16" s="47">
        <v>0</v>
      </c>
      <c r="E16" s="47">
        <v>48000</v>
      </c>
    </row>
    <row r="19" spans="1:7" ht="15" thickBot="1" x14ac:dyDescent="0.35">
      <c r="A19" t="s">
        <v>73</v>
      </c>
    </row>
    <row r="20" spans="1:7" ht="15" thickBot="1" x14ac:dyDescent="0.35">
      <c r="B20" s="45" t="s">
        <v>69</v>
      </c>
      <c r="C20" s="45" t="s">
        <v>70</v>
      </c>
      <c r="D20" s="45" t="s">
        <v>71</v>
      </c>
      <c r="E20" s="45" t="s">
        <v>72</v>
      </c>
      <c r="F20" s="45" t="s">
        <v>74</v>
      </c>
    </row>
    <row r="21" spans="1:7" x14ac:dyDescent="0.3">
      <c r="B21" s="46" t="s">
        <v>80</v>
      </c>
      <c r="C21" s="46" t="s">
        <v>81</v>
      </c>
      <c r="D21" s="48">
        <v>0</v>
      </c>
      <c r="E21" s="48">
        <v>0</v>
      </c>
      <c r="F21" s="46" t="s">
        <v>82</v>
      </c>
    </row>
    <row r="22" spans="1:7" x14ac:dyDescent="0.3">
      <c r="B22" s="46" t="s">
        <v>83</v>
      </c>
      <c r="C22" s="46" t="s">
        <v>84</v>
      </c>
      <c r="D22" s="48">
        <v>0</v>
      </c>
      <c r="E22" s="48">
        <v>0</v>
      </c>
      <c r="F22" s="46" t="s">
        <v>82</v>
      </c>
    </row>
    <row r="23" spans="1:7" x14ac:dyDescent="0.3">
      <c r="B23" s="46" t="s">
        <v>85</v>
      </c>
      <c r="C23" s="46" t="s">
        <v>86</v>
      </c>
      <c r="D23" s="48">
        <v>0</v>
      </c>
      <c r="E23" s="48">
        <v>0</v>
      </c>
      <c r="F23" s="46" t="s">
        <v>82</v>
      </c>
    </row>
    <row r="24" spans="1:7" ht="15" thickBot="1" x14ac:dyDescent="0.35">
      <c r="B24" s="44" t="s">
        <v>87</v>
      </c>
      <c r="C24" s="44" t="s">
        <v>88</v>
      </c>
      <c r="D24" s="47">
        <v>0</v>
      </c>
      <c r="E24" s="47">
        <v>2400</v>
      </c>
      <c r="F24" s="44" t="s">
        <v>82</v>
      </c>
    </row>
    <row r="27" spans="1:7" ht="15" thickBot="1" x14ac:dyDescent="0.35">
      <c r="A27" t="s">
        <v>8</v>
      </c>
    </row>
    <row r="28" spans="1:7" ht="15" thickBot="1" x14ac:dyDescent="0.35">
      <c r="B28" s="45" t="s">
        <v>69</v>
      </c>
      <c r="C28" s="45" t="s">
        <v>70</v>
      </c>
      <c r="D28" s="45" t="s">
        <v>75</v>
      </c>
      <c r="E28" s="45" t="s">
        <v>76</v>
      </c>
      <c r="F28" s="45" t="s">
        <v>12</v>
      </c>
      <c r="G28" s="45" t="s">
        <v>77</v>
      </c>
    </row>
    <row r="29" spans="1:7" x14ac:dyDescent="0.3">
      <c r="B29" s="46" t="s">
        <v>89</v>
      </c>
      <c r="C29" s="46" t="s">
        <v>90</v>
      </c>
      <c r="D29" s="48">
        <v>2400</v>
      </c>
      <c r="E29" s="46" t="s">
        <v>91</v>
      </c>
      <c r="F29" s="46" t="s">
        <v>92</v>
      </c>
      <c r="G29" s="46">
        <v>100</v>
      </c>
    </row>
    <row r="30" spans="1:7" x14ac:dyDescent="0.3">
      <c r="B30" s="46" t="s">
        <v>93</v>
      </c>
      <c r="C30" s="46" t="s">
        <v>94</v>
      </c>
      <c r="D30" s="48">
        <v>6000</v>
      </c>
      <c r="E30" s="46" t="s">
        <v>95</v>
      </c>
      <c r="F30" s="46" t="s">
        <v>92</v>
      </c>
      <c r="G30" s="46">
        <v>2000</v>
      </c>
    </row>
    <row r="31" spans="1:7" x14ac:dyDescent="0.3">
      <c r="B31" s="46" t="s">
        <v>96</v>
      </c>
      <c r="C31" s="46" t="s">
        <v>97</v>
      </c>
      <c r="D31" s="48">
        <v>600</v>
      </c>
      <c r="E31" s="46" t="s">
        <v>98</v>
      </c>
      <c r="F31" s="46" t="s">
        <v>99</v>
      </c>
      <c r="G31" s="46">
        <v>0</v>
      </c>
    </row>
    <row r="32" spans="1:7" x14ac:dyDescent="0.3">
      <c r="B32" s="46" t="s">
        <v>100</v>
      </c>
      <c r="C32" s="46" t="s">
        <v>101</v>
      </c>
      <c r="D32" s="48">
        <v>0</v>
      </c>
      <c r="E32" s="46" t="s">
        <v>102</v>
      </c>
      <c r="F32" s="46" t="s">
        <v>92</v>
      </c>
      <c r="G32" s="46">
        <v>1000</v>
      </c>
    </row>
    <row r="33" spans="2:7" x14ac:dyDescent="0.3">
      <c r="B33" s="46" t="s">
        <v>80</v>
      </c>
      <c r="C33" s="46" t="s">
        <v>81</v>
      </c>
      <c r="D33" s="48">
        <v>0</v>
      </c>
      <c r="E33" s="46" t="s">
        <v>103</v>
      </c>
      <c r="F33" s="46" t="s">
        <v>99</v>
      </c>
      <c r="G33" s="48">
        <v>0</v>
      </c>
    </row>
    <row r="34" spans="2:7" x14ac:dyDescent="0.3">
      <c r="B34" s="46" t="s">
        <v>83</v>
      </c>
      <c r="C34" s="46" t="s">
        <v>84</v>
      </c>
      <c r="D34" s="48">
        <v>0</v>
      </c>
      <c r="E34" s="46" t="s">
        <v>104</v>
      </c>
      <c r="F34" s="46" t="s">
        <v>99</v>
      </c>
      <c r="G34" s="48">
        <v>0</v>
      </c>
    </row>
    <row r="35" spans="2:7" x14ac:dyDescent="0.3">
      <c r="B35" s="46" t="s">
        <v>85</v>
      </c>
      <c r="C35" s="46" t="s">
        <v>86</v>
      </c>
      <c r="D35" s="48">
        <v>0</v>
      </c>
      <c r="E35" s="46" t="s">
        <v>105</v>
      </c>
      <c r="F35" s="46" t="s">
        <v>99</v>
      </c>
      <c r="G35" s="48">
        <v>0</v>
      </c>
    </row>
    <row r="36" spans="2:7" ht="15" thickBot="1" x14ac:dyDescent="0.35">
      <c r="B36" s="44" t="s">
        <v>87</v>
      </c>
      <c r="C36" s="44" t="s">
        <v>88</v>
      </c>
      <c r="D36" s="47">
        <v>2400</v>
      </c>
      <c r="E36" s="44" t="s">
        <v>106</v>
      </c>
      <c r="F36" s="44" t="s">
        <v>92</v>
      </c>
      <c r="G36" s="47">
        <v>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0DE7-0D64-4013-86D9-4AAEAA941A57}">
  <dimension ref="A1:H20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32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43" t="s">
        <v>107</v>
      </c>
    </row>
    <row r="2" spans="1:8" x14ac:dyDescent="0.3">
      <c r="A2" s="43" t="s">
        <v>58</v>
      </c>
    </row>
    <row r="3" spans="1:8" x14ac:dyDescent="0.3">
      <c r="A3" s="43" t="s">
        <v>59</v>
      </c>
    </row>
    <row r="6" spans="1:8" ht="15" thickBot="1" x14ac:dyDescent="0.35">
      <c r="A6" t="s">
        <v>73</v>
      </c>
    </row>
    <row r="7" spans="1:8" x14ac:dyDescent="0.3">
      <c r="B7" s="49"/>
      <c r="C7" s="49"/>
      <c r="D7" s="49" t="s">
        <v>108</v>
      </c>
      <c r="E7" s="49" t="s">
        <v>110</v>
      </c>
      <c r="F7" s="49" t="s">
        <v>112</v>
      </c>
      <c r="G7" s="49" t="s">
        <v>113</v>
      </c>
      <c r="H7" s="49" t="s">
        <v>113</v>
      </c>
    </row>
    <row r="8" spans="1:8" ht="15" thickBot="1" x14ac:dyDescent="0.35">
      <c r="B8" s="50" t="s">
        <v>69</v>
      </c>
      <c r="C8" s="50" t="s">
        <v>70</v>
      </c>
      <c r="D8" s="50" t="s">
        <v>109</v>
      </c>
      <c r="E8" s="50" t="s">
        <v>111</v>
      </c>
      <c r="F8" s="50" t="s">
        <v>43</v>
      </c>
      <c r="G8" s="50" t="s">
        <v>114</v>
      </c>
      <c r="H8" s="50" t="s">
        <v>115</v>
      </c>
    </row>
    <row r="9" spans="1:8" x14ac:dyDescent="0.3">
      <c r="B9" s="46" t="s">
        <v>80</v>
      </c>
      <c r="C9" s="46" t="s">
        <v>81</v>
      </c>
      <c r="D9" s="46">
        <v>0</v>
      </c>
      <c r="E9" s="46">
        <v>-4</v>
      </c>
      <c r="F9" s="46">
        <v>12</v>
      </c>
      <c r="G9" s="46">
        <v>4</v>
      </c>
      <c r="H9" s="46">
        <v>1E+30</v>
      </c>
    </row>
    <row r="10" spans="1:8" x14ac:dyDescent="0.3">
      <c r="B10" s="46" t="s">
        <v>83</v>
      </c>
      <c r="C10" s="46" t="s">
        <v>84</v>
      </c>
      <c r="D10" s="46">
        <v>0</v>
      </c>
      <c r="E10" s="46">
        <v>-3.9999999999999964</v>
      </c>
      <c r="F10" s="46">
        <v>8</v>
      </c>
      <c r="G10" s="46">
        <v>3.9999999999999964</v>
      </c>
      <c r="H10" s="46">
        <v>1E+30</v>
      </c>
    </row>
    <row r="11" spans="1:8" x14ac:dyDescent="0.3">
      <c r="B11" s="46" t="s">
        <v>85</v>
      </c>
      <c r="C11" s="46" t="s">
        <v>86</v>
      </c>
      <c r="D11" s="46">
        <v>0</v>
      </c>
      <c r="E11" s="46">
        <v>-8.9999999999999929</v>
      </c>
      <c r="F11" s="46">
        <v>15</v>
      </c>
      <c r="G11" s="46">
        <v>8.9999999999999929</v>
      </c>
      <c r="H11" s="46">
        <v>1E+30</v>
      </c>
    </row>
    <row r="12" spans="1:8" ht="15" thickBot="1" x14ac:dyDescent="0.35">
      <c r="B12" s="44" t="s">
        <v>87</v>
      </c>
      <c r="C12" s="44" t="s">
        <v>88</v>
      </c>
      <c r="D12" s="44">
        <v>2400</v>
      </c>
      <c r="E12" s="44">
        <v>0</v>
      </c>
      <c r="F12" s="44">
        <v>20</v>
      </c>
      <c r="G12" s="44">
        <v>1E+30</v>
      </c>
      <c r="H12" s="44">
        <v>5</v>
      </c>
    </row>
    <row r="14" spans="1:8" ht="15" thickBot="1" x14ac:dyDescent="0.35">
      <c r="A14" t="s">
        <v>8</v>
      </c>
    </row>
    <row r="15" spans="1:8" x14ac:dyDescent="0.3">
      <c r="B15" s="49"/>
      <c r="C15" s="49"/>
      <c r="D15" s="49" t="s">
        <v>108</v>
      </c>
      <c r="E15" s="49" t="s">
        <v>116</v>
      </c>
      <c r="F15" s="49" t="s">
        <v>33</v>
      </c>
      <c r="G15" s="49" t="s">
        <v>113</v>
      </c>
      <c r="H15" s="49" t="s">
        <v>113</v>
      </c>
    </row>
    <row r="16" spans="1:8" ht="15" thickBot="1" x14ac:dyDescent="0.35">
      <c r="B16" s="50" t="s">
        <v>69</v>
      </c>
      <c r="C16" s="50" t="s">
        <v>70</v>
      </c>
      <c r="D16" s="50" t="s">
        <v>109</v>
      </c>
      <c r="E16" s="50" t="s">
        <v>117</v>
      </c>
      <c r="F16" s="50" t="s">
        <v>118</v>
      </c>
      <c r="G16" s="50" t="s">
        <v>114</v>
      </c>
      <c r="H16" s="50" t="s">
        <v>115</v>
      </c>
    </row>
    <row r="17" spans="2:8" x14ac:dyDescent="0.3">
      <c r="B17" s="46" t="s">
        <v>89</v>
      </c>
      <c r="C17" s="46" t="s">
        <v>90</v>
      </c>
      <c r="D17" s="46">
        <v>2400</v>
      </c>
      <c r="E17" s="46">
        <v>0</v>
      </c>
      <c r="F17" s="46">
        <v>2500</v>
      </c>
      <c r="G17" s="46">
        <v>1E+30</v>
      </c>
      <c r="H17" s="46">
        <v>100</v>
      </c>
    </row>
    <row r="18" spans="2:8" x14ac:dyDescent="0.3">
      <c r="B18" s="46" t="s">
        <v>93</v>
      </c>
      <c r="C18" s="46" t="s">
        <v>94</v>
      </c>
      <c r="D18" s="46">
        <v>6000</v>
      </c>
      <c r="E18" s="46">
        <v>0</v>
      </c>
      <c r="F18" s="46">
        <v>8000</v>
      </c>
      <c r="G18" s="46">
        <v>1E+30</v>
      </c>
      <c r="H18" s="46">
        <v>2000</v>
      </c>
    </row>
    <row r="19" spans="2:8" x14ac:dyDescent="0.3">
      <c r="B19" s="46" t="s">
        <v>96</v>
      </c>
      <c r="C19" s="46" t="s">
        <v>97</v>
      </c>
      <c r="D19" s="46">
        <v>600</v>
      </c>
      <c r="E19" s="46">
        <v>80</v>
      </c>
      <c r="F19" s="46">
        <v>600</v>
      </c>
      <c r="G19" s="46">
        <v>25</v>
      </c>
      <c r="H19" s="46">
        <v>600</v>
      </c>
    </row>
    <row r="20" spans="2:8" ht="15" thickBot="1" x14ac:dyDescent="0.35">
      <c r="B20" s="44" t="s">
        <v>100</v>
      </c>
      <c r="C20" s="44" t="s">
        <v>101</v>
      </c>
      <c r="D20" s="44">
        <v>0</v>
      </c>
      <c r="E20" s="44">
        <v>0</v>
      </c>
      <c r="F20" s="44">
        <v>1000</v>
      </c>
      <c r="G20" s="44">
        <v>1E+30</v>
      </c>
      <c r="H20" s="4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5901-65DD-44D3-AC81-FEDE90A03445}">
  <dimension ref="A1:J26"/>
  <sheetViews>
    <sheetView tabSelected="1" workbookViewId="0">
      <selection activeCell="A18" sqref="A18"/>
    </sheetView>
  </sheetViews>
  <sheetFormatPr defaultRowHeight="14.4" x14ac:dyDescent="0.3"/>
  <cols>
    <col min="1" max="1" width="27.5546875" bestFit="1" customWidth="1"/>
    <col min="2" max="2" width="22.33203125" bestFit="1" customWidth="1"/>
    <col min="4" max="4" width="16.44140625" bestFit="1" customWidth="1"/>
    <col min="5" max="5" width="31.88671875" bestFit="1" customWidth="1"/>
    <col min="6" max="6" width="13" customWidth="1"/>
    <col min="7" max="8" width="14" bestFit="1" customWidth="1"/>
    <col min="9" max="9" width="22.5546875" bestFit="1" customWidth="1"/>
    <col min="10" max="10" width="10.44140625" bestFit="1" customWidth="1"/>
    <col min="11" max="11" width="10.44140625" customWidth="1"/>
  </cols>
  <sheetData>
    <row r="1" spans="1:10" ht="15" thickBot="1" x14ac:dyDescent="0.35">
      <c r="A1" s="2" t="s">
        <v>0</v>
      </c>
      <c r="B1" s="3" t="s">
        <v>1</v>
      </c>
      <c r="F1" s="59" t="s">
        <v>13</v>
      </c>
      <c r="I1" s="60" t="s">
        <v>120</v>
      </c>
    </row>
    <row r="2" spans="1:10" ht="15" thickBot="1" x14ac:dyDescent="0.35">
      <c r="A2" s="9" t="s">
        <v>2</v>
      </c>
      <c r="B2" s="9">
        <v>0</v>
      </c>
      <c r="D2" s="4" t="s">
        <v>7</v>
      </c>
      <c r="E2" s="3" t="s">
        <v>38</v>
      </c>
      <c r="F2" s="13" t="s">
        <v>24</v>
      </c>
      <c r="G2" s="14" t="s">
        <v>43</v>
      </c>
      <c r="I2" s="30" t="s">
        <v>24</v>
      </c>
      <c r="J2" s="31" t="s">
        <v>43</v>
      </c>
    </row>
    <row r="3" spans="1:10" x14ac:dyDescent="0.3">
      <c r="A3" s="5" t="s">
        <v>3</v>
      </c>
      <c r="B3" s="5">
        <v>0</v>
      </c>
      <c r="D3" s="5" t="s">
        <v>13</v>
      </c>
      <c r="E3" s="7" t="s">
        <v>39</v>
      </c>
      <c r="F3" s="15" t="s">
        <v>44</v>
      </c>
      <c r="G3" s="16">
        <v>1</v>
      </c>
      <c r="I3" s="32" t="s">
        <v>26</v>
      </c>
      <c r="J3" s="33">
        <v>0</v>
      </c>
    </row>
    <row r="4" spans="1:10" x14ac:dyDescent="0.3">
      <c r="A4" s="5" t="s">
        <v>4</v>
      </c>
      <c r="B4" s="5">
        <v>0</v>
      </c>
      <c r="D4" s="5" t="s">
        <v>16</v>
      </c>
      <c r="E4" s="7" t="s">
        <v>40</v>
      </c>
      <c r="F4" s="15" t="s">
        <v>45</v>
      </c>
      <c r="G4" s="16">
        <v>1</v>
      </c>
      <c r="I4" s="32" t="s">
        <v>28</v>
      </c>
      <c r="J4" s="33">
        <v>0</v>
      </c>
    </row>
    <row r="5" spans="1:10" ht="15" thickBot="1" x14ac:dyDescent="0.35">
      <c r="A5" s="6" t="s">
        <v>5</v>
      </c>
      <c r="B5" s="6">
        <v>2400</v>
      </c>
      <c r="D5" s="5" t="s">
        <v>17</v>
      </c>
      <c r="E5" s="7" t="s">
        <v>41</v>
      </c>
      <c r="F5" s="15" t="s">
        <v>46</v>
      </c>
      <c r="G5" s="16">
        <v>1</v>
      </c>
      <c r="I5" s="32" t="s">
        <v>46</v>
      </c>
      <c r="J5" s="33">
        <v>1</v>
      </c>
    </row>
    <row r="6" spans="1:10" ht="15" thickBot="1" x14ac:dyDescent="0.35">
      <c r="D6" s="6" t="s">
        <v>18</v>
      </c>
      <c r="E6" s="8" t="s">
        <v>42</v>
      </c>
      <c r="F6" s="15" t="s">
        <v>47</v>
      </c>
      <c r="G6" s="16">
        <v>1</v>
      </c>
      <c r="I6" s="32" t="s">
        <v>32</v>
      </c>
      <c r="J6" s="33">
        <v>0</v>
      </c>
    </row>
    <row r="7" spans="1:10" ht="15" thickBot="1" x14ac:dyDescent="0.35">
      <c r="A7" s="7" t="s">
        <v>6</v>
      </c>
      <c r="F7" s="13" t="s">
        <v>33</v>
      </c>
      <c r="G7" s="14" t="s">
        <v>48</v>
      </c>
      <c r="I7" s="30" t="s">
        <v>33</v>
      </c>
      <c r="J7" s="31" t="s">
        <v>53</v>
      </c>
    </row>
    <row r="8" spans="1:10" ht="15" thickBot="1" x14ac:dyDescent="0.35">
      <c r="A8" s="42" t="s">
        <v>7</v>
      </c>
      <c r="B8" s="42">
        <f>12*B2 + 8*B3 + 15*B4 + 20*B5</f>
        <v>48000</v>
      </c>
      <c r="F8" s="58" t="s">
        <v>16</v>
      </c>
      <c r="I8" s="22" t="s">
        <v>121</v>
      </c>
    </row>
    <row r="9" spans="1:10" ht="15" thickBot="1" x14ac:dyDescent="0.35">
      <c r="F9" s="17" t="s">
        <v>24</v>
      </c>
      <c r="G9" s="18" t="s">
        <v>49</v>
      </c>
      <c r="I9" s="22" t="s">
        <v>24</v>
      </c>
      <c r="J9" s="23" t="s">
        <v>33</v>
      </c>
    </row>
    <row r="10" spans="1:10" ht="15" thickBot="1" x14ac:dyDescent="0.35">
      <c r="A10" s="9" t="s">
        <v>8</v>
      </c>
      <c r="B10" s="62" t="s">
        <v>9</v>
      </c>
      <c r="C10" s="4" t="s">
        <v>10</v>
      </c>
      <c r="D10" s="66" t="s">
        <v>11</v>
      </c>
      <c r="E10" s="1" t="s">
        <v>12</v>
      </c>
      <c r="F10" s="19" t="s">
        <v>44</v>
      </c>
      <c r="G10" s="20">
        <v>3</v>
      </c>
      <c r="I10" s="24" t="s">
        <v>26</v>
      </c>
      <c r="J10" s="25" t="s">
        <v>34</v>
      </c>
    </row>
    <row r="11" spans="1:10" x14ac:dyDescent="0.3">
      <c r="A11" s="9" t="s">
        <v>13</v>
      </c>
      <c r="B11" s="63">
        <f>B2 + B3 + B4 + B5</f>
        <v>2400</v>
      </c>
      <c r="C11" s="11" t="s">
        <v>14</v>
      </c>
      <c r="D11" s="54">
        <v>2500</v>
      </c>
      <c r="E11" s="11" t="s">
        <v>15</v>
      </c>
      <c r="F11" s="51" t="s">
        <v>45</v>
      </c>
      <c r="G11" s="21">
        <v>2</v>
      </c>
      <c r="I11" s="26" t="s">
        <v>28</v>
      </c>
      <c r="J11" s="27" t="s">
        <v>35</v>
      </c>
    </row>
    <row r="12" spans="1:10" x14ac:dyDescent="0.3">
      <c r="A12" s="5" t="s">
        <v>16</v>
      </c>
      <c r="B12" s="64">
        <f>3*B2 + 2*B3 + 5*B4 + 2.5*B5</f>
        <v>6000</v>
      </c>
      <c r="C12" s="10" t="s">
        <v>14</v>
      </c>
      <c r="D12" s="55">
        <v>8000</v>
      </c>
      <c r="E12" s="10" t="s">
        <v>15</v>
      </c>
      <c r="F12" s="51" t="s">
        <v>46</v>
      </c>
      <c r="G12" s="21">
        <v>5</v>
      </c>
      <c r="I12" s="26" t="s">
        <v>30</v>
      </c>
      <c r="J12" s="27" t="s">
        <v>36</v>
      </c>
    </row>
    <row r="13" spans="1:10" ht="15" thickBot="1" x14ac:dyDescent="0.35">
      <c r="A13" s="5" t="s">
        <v>17</v>
      </c>
      <c r="B13" s="64">
        <f>0.2*B2 + 0.15*B3 + 0.3*B4 + 0.25*B5</f>
        <v>600</v>
      </c>
      <c r="C13" s="10" t="s">
        <v>14</v>
      </c>
      <c r="D13" s="55">
        <v>600</v>
      </c>
      <c r="E13" s="10" t="s">
        <v>15</v>
      </c>
      <c r="F13" s="51" t="s">
        <v>47</v>
      </c>
      <c r="G13" s="21">
        <v>2.5</v>
      </c>
      <c r="I13" s="28" t="s">
        <v>32</v>
      </c>
      <c r="J13" s="29" t="s">
        <v>37</v>
      </c>
    </row>
    <row r="14" spans="1:10" ht="15" thickBot="1" x14ac:dyDescent="0.35">
      <c r="A14" s="5" t="s">
        <v>18</v>
      </c>
      <c r="B14" s="64">
        <f>B4</f>
        <v>0</v>
      </c>
      <c r="C14" s="10" t="s">
        <v>14</v>
      </c>
      <c r="D14" s="55">
        <v>1000</v>
      </c>
      <c r="E14" s="10" t="s">
        <v>15</v>
      </c>
      <c r="F14" s="52" t="s">
        <v>33</v>
      </c>
      <c r="G14" s="18" t="s">
        <v>50</v>
      </c>
    </row>
    <row r="15" spans="1:10" ht="15" thickBot="1" x14ac:dyDescent="0.35">
      <c r="A15" s="53" t="s">
        <v>56</v>
      </c>
      <c r="B15" s="65" t="s">
        <v>55</v>
      </c>
      <c r="C15" s="61" t="s">
        <v>54</v>
      </c>
      <c r="D15" s="56">
        <v>0</v>
      </c>
      <c r="E15" s="12" t="s">
        <v>15</v>
      </c>
      <c r="F15" s="57" t="s">
        <v>119</v>
      </c>
    </row>
    <row r="16" spans="1:10" ht="15" thickBot="1" x14ac:dyDescent="0.35">
      <c r="F16" s="34" t="s">
        <v>24</v>
      </c>
      <c r="G16" s="35" t="s">
        <v>51</v>
      </c>
    </row>
    <row r="17" spans="1:7" ht="15" thickBot="1" x14ac:dyDescent="0.35">
      <c r="A17" s="4" t="s">
        <v>19</v>
      </c>
      <c r="F17" s="36" t="s">
        <v>44</v>
      </c>
      <c r="G17" s="37">
        <v>0.2</v>
      </c>
    </row>
    <row r="18" spans="1:7" x14ac:dyDescent="0.3">
      <c r="A18" s="5" t="s">
        <v>20</v>
      </c>
      <c r="F18" s="38" t="s">
        <v>45</v>
      </c>
      <c r="G18" s="39">
        <v>0.15</v>
      </c>
    </row>
    <row r="19" spans="1:7" ht="15" thickBot="1" x14ac:dyDescent="0.35">
      <c r="A19" s="6" t="s">
        <v>21</v>
      </c>
      <c r="F19" s="38" t="s">
        <v>46</v>
      </c>
      <c r="G19" s="39">
        <v>0.3</v>
      </c>
    </row>
    <row r="20" spans="1:7" ht="15" thickBot="1" x14ac:dyDescent="0.35">
      <c r="F20" s="38" t="s">
        <v>47</v>
      </c>
      <c r="G20" s="39">
        <v>0.25</v>
      </c>
    </row>
    <row r="21" spans="1:7" ht="15" thickBot="1" x14ac:dyDescent="0.35">
      <c r="A21" s="4" t="s">
        <v>22</v>
      </c>
      <c r="F21" s="40" t="s">
        <v>33</v>
      </c>
      <c r="G21" s="41" t="s">
        <v>52</v>
      </c>
    </row>
    <row r="22" spans="1:7" x14ac:dyDescent="0.3">
      <c r="A22" s="9" t="s">
        <v>23</v>
      </c>
    </row>
    <row r="23" spans="1:7" x14ac:dyDescent="0.3">
      <c r="A23" s="5" t="s">
        <v>25</v>
      </c>
    </row>
    <row r="24" spans="1:7" x14ac:dyDescent="0.3">
      <c r="A24" s="5" t="s">
        <v>27</v>
      </c>
    </row>
    <row r="25" spans="1:7" x14ac:dyDescent="0.3">
      <c r="A25" s="5" t="s">
        <v>29</v>
      </c>
    </row>
    <row r="26" spans="1:7" ht="15" thickBot="1" x14ac:dyDescent="0.35">
      <c r="A26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BADIGER</dc:creator>
  <cp:lastModifiedBy>PARTH BADIGER</cp:lastModifiedBy>
  <dcterms:created xsi:type="dcterms:W3CDTF">2026-01-25T18:54:24Z</dcterms:created>
  <dcterms:modified xsi:type="dcterms:W3CDTF">2026-01-25T20:14:59Z</dcterms:modified>
</cp:coreProperties>
</file>